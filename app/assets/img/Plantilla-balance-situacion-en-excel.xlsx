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de situacion" sheetId="1" r:id="rId4"/>
    <sheet state="visible" name="Gráfico de balance de situación" sheetId="2" r:id="rId5"/>
  </sheets>
  <definedNames/>
  <calcPr/>
  <extLst>
    <ext uri="GoogleSheetsCustomDataVersion1">
      <go:sheetsCustomData xmlns:go="http://customooxmlschemas.google.com/" r:id="rId6" roundtripDataSignature="AMtx7mg0i2uYYjDSmkIbW8oGFqVbkKDO4w=="/>
    </ext>
  </extLst>
</workbook>
</file>

<file path=xl/sharedStrings.xml><?xml version="1.0" encoding="utf-8"?>
<sst xmlns="http://schemas.openxmlformats.org/spreadsheetml/2006/main" count="59" uniqueCount="58">
  <si>
    <t>ACTIVOS</t>
  </si>
  <si>
    <t>PATRIMONIO NETO + PASIVOS</t>
  </si>
  <si>
    <t>A) ACTIVO NO CORRIENTE</t>
  </si>
  <si>
    <t>A) PATRIMONIO NETO</t>
  </si>
  <si>
    <t>I. Inmovilizado intangible</t>
  </si>
  <si>
    <t>A-1 FONDOS PROPIOS</t>
  </si>
  <si>
    <t>II. Inmovilizado material</t>
  </si>
  <si>
    <t>I. Capital</t>
  </si>
  <si>
    <t>Terrenos y construcciones</t>
  </si>
  <si>
    <t>II. Prima de emisión</t>
  </si>
  <si>
    <t xml:space="preserve">Instalaciones técnicas y otro inmovilizado material </t>
  </si>
  <si>
    <t>III. Reservas</t>
  </si>
  <si>
    <t>III. Inversiones inmobiliarias</t>
  </si>
  <si>
    <t>Legales y estatutarias</t>
  </si>
  <si>
    <t>IV. Inversiones en empresas del grupo y asociadas L.P.</t>
  </si>
  <si>
    <t>Otras reservas</t>
  </si>
  <si>
    <t>V. Inversiones financieras a largo plazo</t>
  </si>
  <si>
    <t>IV. Acciones y participaciones en patrimonio propias</t>
  </si>
  <si>
    <t>VI. Activos por impuesto diferido</t>
  </si>
  <si>
    <t>V. Resultados de ejercicios anteriores</t>
  </si>
  <si>
    <t>B) ACTIVO CORRIENTE</t>
  </si>
  <si>
    <t>VI. Otras aportaciones de socios</t>
  </si>
  <si>
    <t>I. Existencias</t>
  </si>
  <si>
    <t>VII. Resultado del ejercicio</t>
  </si>
  <si>
    <t>Comerciales</t>
  </si>
  <si>
    <t>VIII. Dividendo a cuenta</t>
  </si>
  <si>
    <t>Productos en curso</t>
  </si>
  <si>
    <t>A-2 SUBVENCIONES, DONACIONES Y LEGADOS</t>
  </si>
  <si>
    <t>II. Deudores comerciales y otras cuentas a cobrar</t>
  </si>
  <si>
    <t>B) PASIVO NO CORRIENTE</t>
  </si>
  <si>
    <t>Clientes por ventas y otras prestaciones de servicios</t>
  </si>
  <si>
    <t>I. Provisiones a largo plazo</t>
  </si>
  <si>
    <t>Deudores varios</t>
  </si>
  <si>
    <t>II. Deudas a largo plazo</t>
  </si>
  <si>
    <t>Otros créditos con las administraciones Publicas</t>
  </si>
  <si>
    <t>III Deudas con empresas del grupo y asociadas a L.P.</t>
  </si>
  <si>
    <t>III. Inversiones en empresas del grupo/asociadas C.P.</t>
  </si>
  <si>
    <t>IV. Pasivos por impuesto diferido</t>
  </si>
  <si>
    <t>IV. Inversiones financieras a corto plazo</t>
  </si>
  <si>
    <t>V. Periodificaciones a largo plazo</t>
  </si>
  <si>
    <t>V. Periodificaciones a corto plazo</t>
  </si>
  <si>
    <t>C) PASIVO CORRIENTE</t>
  </si>
  <si>
    <t>VI. Efectivo y otros activos líquidos equivalentes</t>
  </si>
  <si>
    <t>I. Provisiones a corto plazo</t>
  </si>
  <si>
    <t>TOTAL ACTIVO (A + B)</t>
  </si>
  <si>
    <t>II. Deudas a corto plazo</t>
  </si>
  <si>
    <t>III. Deudas con empresas del grupo y asociadas a C.P.</t>
  </si>
  <si>
    <t>IV. Acreedores a corto plazo y otras cuentas a pagar</t>
  </si>
  <si>
    <t>Proveedores a corto plazo</t>
  </si>
  <si>
    <t>Acreedores varios</t>
  </si>
  <si>
    <t>Otras deudas con Administraciones Públicas</t>
  </si>
  <si>
    <t>Personal (remuneraciones pendientes de pago)</t>
  </si>
  <si>
    <t>TOTAL P.NETO + PASIVOS (A + B + C)</t>
  </si>
  <si>
    <t>Automatiza tu contabilidad con Holded. Empieza gratis.</t>
  </si>
  <si>
    <t>RESUMEN DEL BALANCE DE SITUACIÓN</t>
  </si>
  <si>
    <t>ACTIVO</t>
  </si>
  <si>
    <t>PASIVO</t>
  </si>
  <si>
    <t>Gráfico del balance de situación de tu empresa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</si>
</sst>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980000"/>
      <name val="Verdana"/>
    </font>
    <font>
      <b/>
      <sz val="12.0"/>
      <color rgb="FF205867"/>
      <name val="Verdana"/>
    </font>
    <font>
      <sz val="10.0"/>
      <color theme="1"/>
      <name val="Calibri"/>
    </font>
    <font>
      <b/>
      <sz val="10.0"/>
      <color theme="0"/>
      <name val="Verdana"/>
    </font>
    <font>
      <b/>
      <sz val="10.0"/>
      <color rgb="FF595959"/>
      <name val="Verdana"/>
    </font>
    <font>
      <b/>
      <sz val="9.0"/>
      <color rgb="FF595959"/>
      <name val="Verdana"/>
    </font>
    <font>
      <sz val="11.0"/>
      <color rgb="FF595959"/>
      <name val="Calibri"/>
    </font>
    <font>
      <i/>
      <sz val="10.0"/>
      <color rgb="FF595959"/>
      <name val="Verdana"/>
    </font>
    <font>
      <u/>
      <sz val="22.0"/>
      <color rgb="FFFFFFFF"/>
      <name val="Roboto"/>
    </font>
    <font/>
    <font>
      <b/>
      <sz val="22.0"/>
      <color rgb="FFFF9900"/>
      <name val="Nunito"/>
    </font>
    <font>
      <sz val="11.0"/>
      <color theme="1"/>
      <name val="Nunito"/>
    </font>
    <font>
      <color theme="1"/>
      <name val="Nunito"/>
    </font>
    <font>
      <b/>
      <sz val="11.0"/>
      <color theme="1"/>
      <name val="Nunito"/>
    </font>
    <font>
      <b/>
      <sz val="11.0"/>
      <color theme="0"/>
      <name val="Nunito"/>
    </font>
    <font>
      <b/>
      <sz val="12.0"/>
      <color rgb="FFFF0000"/>
      <name val="Nunito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783F04"/>
        <bgColor rgb="FF783F04"/>
      </patternFill>
    </fill>
  </fills>
  <borders count="25">
    <border/>
    <border>
      <left/>
      <right/>
      <top/>
      <bottom/>
    </border>
    <border>
      <left style="thin">
        <color rgb="FF7F7F7F"/>
      </left>
      <right/>
      <top style="thin">
        <color rgb="FF7F7F7F"/>
      </top>
      <bottom/>
    </border>
    <border>
      <left/>
      <right style="thin">
        <color rgb="FF7F7F7F"/>
      </right>
      <top style="thin">
        <color rgb="FF7F7F7F"/>
      </top>
      <bottom/>
    </border>
    <border>
      <left style="thin">
        <color rgb="FF7F7F7F"/>
      </left>
      <right/>
      <top/>
      <bottom/>
    </border>
    <border>
      <left style="thin">
        <color rgb="FF7F7F7F"/>
      </left>
      <right style="thin">
        <color rgb="FF7F7F7F"/>
      </right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theme="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/>
    </xf>
    <xf borderId="1" fillId="2" fontId="3" numFmtId="0" xfId="0" applyAlignment="1" applyBorder="1" applyFont="1">
      <alignment horizontal="center"/>
    </xf>
    <xf borderId="0" fillId="0" fontId="4" numFmtId="0" xfId="0" applyAlignment="1" applyFont="1">
      <alignment horizontal="right"/>
    </xf>
    <xf borderId="2" fillId="3" fontId="5" numFmtId="4" xfId="0" applyAlignment="1" applyBorder="1" applyFill="1" applyFont="1" applyNumberFormat="1">
      <alignment horizontal="left" shrinkToFit="0" vertical="center" wrapText="1"/>
    </xf>
    <xf borderId="3" fillId="3" fontId="5" numFmtId="3" xfId="0" applyAlignment="1" applyBorder="1" applyFont="1" applyNumberFormat="1">
      <alignment horizontal="center" shrinkToFit="0" vertical="center" wrapText="1"/>
    </xf>
    <xf borderId="4" fillId="4" fontId="6" numFmtId="0" xfId="0" applyAlignment="1" applyBorder="1" applyFill="1" applyFont="1">
      <alignment horizontal="left" vertical="center"/>
    </xf>
    <xf borderId="4" fillId="4" fontId="7" numFmtId="3" xfId="0" applyAlignment="1" applyBorder="1" applyFont="1" applyNumberFormat="1">
      <alignment horizontal="center" readingOrder="0" vertical="center"/>
    </xf>
    <xf borderId="4" fillId="5" fontId="6" numFmtId="0" xfId="0" applyAlignment="1" applyBorder="1" applyFill="1" applyFont="1">
      <alignment horizontal="left" vertical="center"/>
    </xf>
    <xf borderId="5" fillId="5" fontId="7" numFmtId="3" xfId="0" applyAlignment="1" applyBorder="1" applyFont="1" applyNumberFormat="1">
      <alignment horizontal="center" vertical="center"/>
    </xf>
    <xf borderId="4" fillId="4" fontId="7" numFmtId="3" xfId="0" applyAlignment="1" applyBorder="1" applyFont="1" applyNumberFormat="1">
      <alignment horizontal="center" vertical="center"/>
    </xf>
    <xf borderId="5" fillId="4" fontId="7" numFmtId="3" xfId="0" applyAlignment="1" applyBorder="1" applyFont="1" applyNumberFormat="1">
      <alignment horizontal="center" vertical="center"/>
    </xf>
    <xf borderId="4" fillId="2" fontId="8" numFmtId="0" xfId="0" applyAlignment="1" applyBorder="1" applyFont="1">
      <alignment horizontal="left" vertical="center"/>
    </xf>
    <xf borderId="4" fillId="2" fontId="8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right"/>
    </xf>
    <xf borderId="5" fillId="2" fontId="8" numFmtId="3" xfId="0" applyAlignment="1" applyBorder="1" applyFont="1" applyNumberFormat="1">
      <alignment horizontal="center" vertical="center"/>
    </xf>
    <xf borderId="6" fillId="3" fontId="5" numFmtId="4" xfId="0" applyAlignment="1" applyBorder="1" applyFont="1" applyNumberFormat="1">
      <alignment horizontal="left" shrinkToFit="0" vertical="center" wrapText="1"/>
    </xf>
    <xf borderId="7" fillId="3" fontId="5" numFmtId="3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6" numFmtId="3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4" numFmtId="3" xfId="0" applyAlignment="1" applyFont="1" applyNumberFormat="1">
      <alignment horizontal="center"/>
    </xf>
    <xf borderId="0" fillId="0" fontId="1" numFmtId="4" xfId="0" applyAlignment="1" applyFont="1" applyNumberFormat="1">
      <alignment horizontal="right"/>
    </xf>
    <xf borderId="0" fillId="0" fontId="1" numFmtId="4" xfId="0" applyFont="1" applyNumberFormat="1"/>
    <xf borderId="0" fillId="0" fontId="4" numFmtId="4" xfId="0" applyAlignment="1" applyFont="1" applyNumberFormat="1">
      <alignment horizontal="right"/>
    </xf>
    <xf borderId="8" fillId="6" fontId="10" numFmtId="0" xfId="0" applyAlignment="1" applyBorder="1" applyFill="1" applyFont="1">
      <alignment horizontal="center" readingOrder="0" vertical="center"/>
    </xf>
    <xf borderId="9" fillId="0" fontId="11" numFmtId="0" xfId="0" applyBorder="1" applyFont="1"/>
    <xf borderId="10" fillId="0" fontId="11" numFmtId="0" xfId="0" applyBorder="1" applyFont="1"/>
    <xf borderId="11" fillId="0" fontId="11" numFmtId="0" xfId="0" applyBorder="1" applyFont="1"/>
    <xf borderId="12" fillId="0" fontId="11" numFmtId="0" xfId="0" applyBorder="1" applyFont="1"/>
    <xf borderId="13" fillId="0" fontId="11" numFmtId="0" xfId="0" applyBorder="1" applyFont="1"/>
    <xf borderId="14" fillId="0" fontId="11" numFmtId="0" xfId="0" applyBorder="1" applyFont="1"/>
    <xf borderId="15" fillId="0" fontId="11" numFmtId="0" xfId="0" applyBorder="1" applyFont="1"/>
    <xf borderId="16" fillId="0" fontId="12" numFmtId="0" xfId="0" applyAlignment="1" applyBorder="1" applyFont="1">
      <alignment horizontal="center" vertical="center"/>
    </xf>
    <xf borderId="17" fillId="0" fontId="11" numFmtId="0" xfId="0" applyBorder="1" applyFont="1"/>
    <xf borderId="18" fillId="0" fontId="11" numFmtId="0" xfId="0" applyBorder="1" applyFont="1"/>
    <xf borderId="19" fillId="0" fontId="13" numFmtId="0" xfId="0" applyAlignment="1" applyBorder="1" applyFont="1">
      <alignment vertical="center"/>
    </xf>
    <xf borderId="20" fillId="0" fontId="13" numFmtId="0" xfId="0" applyAlignment="1" applyBorder="1" applyFont="1">
      <alignment vertical="center"/>
    </xf>
    <xf borderId="0" fillId="0" fontId="14" numFmtId="0" xfId="0" applyFont="1"/>
    <xf borderId="0" fillId="0" fontId="13" numFmtId="0" xfId="0" applyFont="1"/>
    <xf borderId="0" fillId="0" fontId="13" numFmtId="0" xfId="0" applyAlignment="1" applyFont="1">
      <alignment horizontal="right"/>
    </xf>
    <xf borderId="0" fillId="0" fontId="15" numFmtId="0" xfId="0" applyFont="1"/>
    <xf borderId="21" fillId="7" fontId="16" numFmtId="0" xfId="0" applyAlignment="1" applyBorder="1" applyFill="1" applyFont="1">
      <alignment horizontal="center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right"/>
    </xf>
    <xf borderId="21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22" fillId="0" fontId="13" numFmtId="0" xfId="0" applyAlignment="1" applyBorder="1" applyFont="1">
      <alignment horizontal="center"/>
    </xf>
    <xf borderId="23" fillId="0" fontId="15" numFmtId="0" xfId="0" applyAlignment="1" applyBorder="1" applyFont="1">
      <alignment horizontal="center"/>
    </xf>
    <xf borderId="24" fillId="0" fontId="17" numFmtId="0" xfId="0" applyAlignment="1" applyBorder="1" applyFont="1">
      <alignment horizontal="center"/>
    </xf>
    <xf borderId="24" fillId="0" fontId="11" numFmtId="0" xfId="0" applyBorder="1" applyFont="1"/>
    <xf borderId="0" fillId="0" fontId="1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'Gráfico de balance de situación'!$A$21:$B$21</c:f>
              <c:numCache/>
            </c:numRef>
          </c:val>
        </c:ser>
        <c:ser>
          <c:idx val="1"/>
          <c:order val="1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'Gráfico de balance de situación'!$A$20:$B$20</c:f>
              <c:numCache/>
            </c:numRef>
          </c:val>
        </c:ser>
        <c:ser>
          <c:idx val="2"/>
          <c:order val="2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'Gráfico de balance de situación'!$A$19:$B$19</c:f>
              <c:numCache/>
            </c:numRef>
          </c:val>
        </c:ser>
        <c:overlap val="100"/>
        <c:axId val="1799620801"/>
        <c:axId val="1284472913"/>
      </c:barChart>
      <c:catAx>
        <c:axId val="1799620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284472913"/>
      </c:catAx>
      <c:valAx>
        <c:axId val="128447291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Calibri"/>
              </a:defRPr>
            </a:pPr>
          </a:p>
        </c:txPr>
        <c:crossAx val="1799620801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10</xdr:row>
      <xdr:rowOff>0</xdr:rowOff>
    </xdr:from>
    <xdr:ext cx="5438775" cy="5124450"/>
    <xdr:graphicFrame>
      <xdr:nvGraphicFramePr>
        <xdr:cNvPr id="12212032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.holded.com/signup?lang=e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2" width="2.57"/>
    <col customWidth="1" min="3" max="3" width="58.71"/>
    <col customWidth="1" min="4" max="4" width="10.86"/>
    <col customWidth="1" min="5" max="5" width="1.71"/>
    <col customWidth="1" min="6" max="6" width="58.71"/>
    <col customWidth="1" min="7" max="26" width="10.86"/>
  </cols>
  <sheetData>
    <row r="1" ht="24.75" customHeight="1">
      <c r="A1" s="1"/>
      <c r="B1" s="1"/>
      <c r="C1" s="2" t="s">
        <v>0</v>
      </c>
      <c r="D1" s="3"/>
      <c r="E1" s="4"/>
      <c r="F1" s="2" t="s">
        <v>1</v>
      </c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5" t="s">
        <v>2</v>
      </c>
      <c r="D2" s="6">
        <f>D3+D4+D7+D8+D9+D10</f>
        <v>10000</v>
      </c>
      <c r="E2" s="4"/>
      <c r="F2" s="5" t="s">
        <v>3</v>
      </c>
      <c r="G2" s="6">
        <f>G3+G14</f>
        <v>3000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7" t="s">
        <v>4</v>
      </c>
      <c r="D3" s="8">
        <v>0.0</v>
      </c>
      <c r="E3" s="4"/>
      <c r="F3" s="9" t="s">
        <v>5</v>
      </c>
      <c r="G3" s="10">
        <f>G4+G5+G6+G9+G10+G11+G12+G13</f>
        <v>3000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7" t="s">
        <v>6</v>
      </c>
      <c r="D4" s="11">
        <f>D5+D6</f>
        <v>10000</v>
      </c>
      <c r="E4" s="4"/>
      <c r="F4" s="7" t="s">
        <v>7</v>
      </c>
      <c r="G4" s="12">
        <v>0.0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3" t="s">
        <v>8</v>
      </c>
      <c r="D5" s="14">
        <v>0.0</v>
      </c>
      <c r="E5" s="15"/>
      <c r="F5" s="7" t="s">
        <v>9</v>
      </c>
      <c r="G5" s="12">
        <v>0.0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"/>
      <c r="C6" s="13" t="s">
        <v>10</v>
      </c>
      <c r="D6" s="14">
        <v>10000.0</v>
      </c>
      <c r="E6" s="15"/>
      <c r="F6" s="7" t="s">
        <v>11</v>
      </c>
      <c r="G6" s="12">
        <f>G7+G8</f>
        <v>3000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7" t="s">
        <v>12</v>
      </c>
      <c r="D7" s="11">
        <v>0.0</v>
      </c>
      <c r="E7" s="4"/>
      <c r="F7" s="13" t="s">
        <v>13</v>
      </c>
      <c r="G7" s="16">
        <v>3000.0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7" t="s">
        <v>14</v>
      </c>
      <c r="D8" s="11">
        <v>0.0</v>
      </c>
      <c r="E8" s="4"/>
      <c r="F8" s="13" t="s">
        <v>15</v>
      </c>
      <c r="G8" s="16">
        <v>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"/>
      <c r="C9" s="7" t="s">
        <v>16</v>
      </c>
      <c r="D9" s="11">
        <v>0.0</v>
      </c>
      <c r="E9" s="4"/>
      <c r="F9" s="7" t="s">
        <v>17</v>
      </c>
      <c r="G9" s="12">
        <v>0.0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"/>
      <c r="C10" s="7" t="s">
        <v>18</v>
      </c>
      <c r="D10" s="11">
        <v>0.0</v>
      </c>
      <c r="E10" s="4"/>
      <c r="F10" s="7" t="s">
        <v>19</v>
      </c>
      <c r="G10" s="12">
        <v>0.0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1"/>
      <c r="C11" s="5" t="s">
        <v>20</v>
      </c>
      <c r="D11" s="6">
        <f>D12+D15+D19+D20+D21+D22</f>
        <v>5000</v>
      </c>
      <c r="E11" s="4"/>
      <c r="F11" s="7" t="s">
        <v>21</v>
      </c>
      <c r="G11" s="12">
        <v>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"/>
      <c r="C12" s="7" t="s">
        <v>22</v>
      </c>
      <c r="D12" s="11">
        <f>D13+D14</f>
        <v>0</v>
      </c>
      <c r="E12" s="4"/>
      <c r="F12" s="7" t="s">
        <v>23</v>
      </c>
      <c r="G12" s="12">
        <v>0.0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"/>
      <c r="C13" s="13" t="s">
        <v>24</v>
      </c>
      <c r="D13" s="14">
        <v>0.0</v>
      </c>
      <c r="E13" s="15"/>
      <c r="F13" s="7" t="s">
        <v>25</v>
      </c>
      <c r="G13" s="12">
        <v>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"/>
      <c r="C14" s="13" t="s">
        <v>26</v>
      </c>
      <c r="D14" s="14">
        <v>0.0</v>
      </c>
      <c r="E14" s="15"/>
      <c r="F14" s="9" t="s">
        <v>27</v>
      </c>
      <c r="G14" s="10">
        <v>0.0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1"/>
      <c r="C15" s="7" t="s">
        <v>28</v>
      </c>
      <c r="D15" s="11">
        <f>D16+D17+D18</f>
        <v>5000</v>
      </c>
      <c r="E15" s="4"/>
      <c r="F15" s="5" t="s">
        <v>29</v>
      </c>
      <c r="G15" s="6">
        <f>G16+G17+G18+G19+G20</f>
        <v>8000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3" t="s">
        <v>30</v>
      </c>
      <c r="D16" s="14">
        <v>5000.0</v>
      </c>
      <c r="E16" s="15"/>
      <c r="F16" s="7" t="s">
        <v>31</v>
      </c>
      <c r="G16" s="12">
        <v>0.0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"/>
      <c r="C17" s="13" t="s">
        <v>32</v>
      </c>
      <c r="D17" s="14">
        <v>0.0</v>
      </c>
      <c r="E17" s="15"/>
      <c r="F17" s="7" t="s">
        <v>33</v>
      </c>
      <c r="G17" s="12">
        <v>8000.0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3" t="s">
        <v>34</v>
      </c>
      <c r="D18" s="14">
        <v>0.0</v>
      </c>
      <c r="E18" s="15"/>
      <c r="F18" s="7" t="s">
        <v>35</v>
      </c>
      <c r="G18" s="12">
        <v>0.0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"/>
      <c r="C19" s="7" t="s">
        <v>36</v>
      </c>
      <c r="D19" s="11">
        <v>0.0</v>
      </c>
      <c r="E19" s="4"/>
      <c r="F19" s="7" t="s">
        <v>37</v>
      </c>
      <c r="G19" s="12">
        <v>0.0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"/>
      <c r="C20" s="7" t="s">
        <v>38</v>
      </c>
      <c r="D20" s="11">
        <v>0.0</v>
      </c>
      <c r="E20" s="4"/>
      <c r="F20" s="7" t="s">
        <v>39</v>
      </c>
      <c r="G20" s="12">
        <v>0.0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"/>
      <c r="C21" s="7" t="s">
        <v>40</v>
      </c>
      <c r="D21" s="11">
        <v>0.0</v>
      </c>
      <c r="E21" s="4"/>
      <c r="F21" s="5" t="s">
        <v>41</v>
      </c>
      <c r="G21" s="6">
        <f>G23+G24+G25+G30</f>
        <v>4000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"/>
      <c r="C22" s="7" t="s">
        <v>42</v>
      </c>
      <c r="D22" s="11">
        <v>0.0</v>
      </c>
      <c r="E22" s="4"/>
      <c r="F22" s="7" t="s">
        <v>43</v>
      </c>
      <c r="G22" s="12">
        <v>0.0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7" t="s">
        <v>44</v>
      </c>
      <c r="D23" s="18">
        <f>D2+D11</f>
        <v>15000</v>
      </c>
      <c r="E23" s="4"/>
      <c r="F23" s="7" t="s">
        <v>45</v>
      </c>
      <c r="G23" s="12">
        <v>1000.0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1"/>
      <c r="C24" s="19"/>
      <c r="D24" s="20"/>
      <c r="E24" s="4"/>
      <c r="F24" s="7" t="s">
        <v>46</v>
      </c>
      <c r="G24" s="12">
        <v>0.0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1"/>
      <c r="E25" s="4"/>
      <c r="F25" s="7" t="s">
        <v>47</v>
      </c>
      <c r="G25" s="12">
        <f>G26+G27+G28+G29</f>
        <v>3000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1"/>
      <c r="E26" s="4"/>
      <c r="F26" s="13" t="s">
        <v>48</v>
      </c>
      <c r="G26" s="16">
        <v>3000.0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"/>
      <c r="C27" s="22"/>
      <c r="D27" s="23"/>
      <c r="E27" s="4"/>
      <c r="F27" s="13" t="s">
        <v>49</v>
      </c>
      <c r="G27" s="16">
        <v>0.0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"/>
      <c r="C28" s="22"/>
      <c r="D28" s="23"/>
      <c r="E28" s="4"/>
      <c r="F28" s="13" t="s">
        <v>50</v>
      </c>
      <c r="G28" s="16">
        <v>0.0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"/>
      <c r="C29" s="22"/>
      <c r="D29" s="23"/>
      <c r="E29" s="4"/>
      <c r="F29" s="13" t="s">
        <v>51</v>
      </c>
      <c r="G29" s="16">
        <v>0.0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1"/>
      <c r="C30" s="22"/>
      <c r="D30" s="23"/>
      <c r="E30" s="4"/>
      <c r="F30" s="7" t="s">
        <v>40</v>
      </c>
      <c r="G30" s="12">
        <v>0.0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1"/>
      <c r="C31" s="1"/>
      <c r="D31" s="21"/>
      <c r="E31" s="24"/>
      <c r="F31" s="17" t="s">
        <v>52</v>
      </c>
      <c r="G31" s="18">
        <f>G21+G15+G2</f>
        <v>15000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1"/>
      <c r="C32" s="1"/>
      <c r="D32" s="21"/>
      <c r="E32" s="24"/>
      <c r="F32" s="25"/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"/>
      <c r="C33" s="22"/>
      <c r="D33" s="23"/>
      <c r="E33" s="26"/>
      <c r="F33" s="1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22"/>
      <c r="D34" s="23"/>
      <c r="E34" s="4"/>
      <c r="F34" s="1"/>
      <c r="G34" s="2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27" t="s">
        <v>53</v>
      </c>
      <c r="D35" s="28"/>
      <c r="E35" s="28"/>
      <c r="F35" s="28"/>
      <c r="G35" s="2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30"/>
      <c r="G36" s="3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32"/>
      <c r="D37" s="33"/>
      <c r="E37" s="33"/>
      <c r="F37" s="33"/>
      <c r="G37" s="3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22"/>
      <c r="D38" s="23"/>
      <c r="E38" s="4"/>
      <c r="F38" s="1"/>
      <c r="G38" s="2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0.0" customHeight="1">
      <c r="A39" s="1"/>
      <c r="B39" s="1"/>
      <c r="C39" s="22"/>
      <c r="D39" s="23"/>
      <c r="E39" s="4"/>
      <c r="F39" s="1"/>
      <c r="G39" s="2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22"/>
      <c r="D40" s="23"/>
      <c r="E40" s="4"/>
      <c r="F40" s="1"/>
      <c r="G40" s="2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22"/>
      <c r="D41" s="23"/>
      <c r="E41" s="4"/>
      <c r="F41" s="1"/>
      <c r="G41" s="2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1"/>
      <c r="C42" s="22"/>
      <c r="D42" s="23"/>
      <c r="E42" s="4"/>
      <c r="F42" s="1"/>
      <c r="G42" s="2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22"/>
      <c r="D43" s="23"/>
      <c r="E43" s="4"/>
      <c r="F43" s="1"/>
      <c r="G43" s="2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22"/>
      <c r="D44" s="23"/>
      <c r="E44" s="4"/>
      <c r="F44" s="1"/>
      <c r="G44" s="2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0.0" customHeight="1">
      <c r="A45" s="1"/>
      <c r="B45" s="1"/>
      <c r="C45" s="22"/>
      <c r="D45" s="23"/>
      <c r="E45" s="4"/>
      <c r="F45" s="1"/>
      <c r="G45" s="2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22"/>
      <c r="D46" s="23"/>
      <c r="E46" s="4"/>
      <c r="F46" s="1"/>
      <c r="G46" s="2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22"/>
      <c r="D47" s="23"/>
      <c r="E47" s="4"/>
      <c r="F47" s="1"/>
      <c r="G47" s="2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22"/>
      <c r="D48" s="23"/>
      <c r="E48" s="4"/>
      <c r="F48" s="1"/>
      <c r="G48" s="2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22"/>
      <c r="D49" s="23"/>
      <c r="E49" s="4"/>
      <c r="F49" s="1"/>
      <c r="G49" s="2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1"/>
      <c r="C50" s="1"/>
      <c r="D50" s="21"/>
      <c r="E50" s="15"/>
      <c r="F50" s="1"/>
      <c r="G50" s="2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1"/>
      <c r="C51" s="1"/>
      <c r="D51" s="21"/>
      <c r="E51" s="15"/>
      <c r="F51" s="1"/>
      <c r="G51" s="2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1"/>
      <c r="C52" s="1"/>
      <c r="D52" s="21"/>
      <c r="E52" s="15"/>
      <c r="F52" s="1"/>
      <c r="G52" s="2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1"/>
      <c r="C53" s="1"/>
      <c r="D53" s="21"/>
      <c r="E53" s="15"/>
      <c r="F53" s="1"/>
      <c r="G53" s="2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22"/>
      <c r="D54" s="23"/>
      <c r="E54" s="4"/>
      <c r="F54" s="1"/>
      <c r="G54" s="2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1"/>
      <c r="B55" s="1"/>
      <c r="C55" s="22"/>
      <c r="D55" s="23"/>
      <c r="E55" s="4"/>
      <c r="F55" s="1"/>
      <c r="G55" s="2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22"/>
      <c r="D56" s="23"/>
      <c r="E56" s="4"/>
      <c r="F56" s="1"/>
      <c r="G56" s="2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22"/>
      <c r="D57" s="23"/>
      <c r="E57" s="4"/>
      <c r="F57" s="1"/>
      <c r="G57" s="2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22"/>
      <c r="D58" s="23"/>
      <c r="E58" s="4"/>
      <c r="F58" s="1"/>
      <c r="G58" s="2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22"/>
      <c r="D59" s="23"/>
      <c r="E59" s="4"/>
      <c r="F59" s="1"/>
      <c r="G59" s="2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22"/>
      <c r="D60" s="23"/>
      <c r="E60" s="4"/>
      <c r="F60" s="1"/>
      <c r="G60" s="2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22"/>
      <c r="D61" s="23"/>
      <c r="E61" s="4"/>
      <c r="F61" s="1"/>
      <c r="G61" s="2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22"/>
      <c r="D62" s="23"/>
      <c r="E62" s="4"/>
      <c r="F62" s="1"/>
      <c r="G62" s="2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22"/>
      <c r="D63" s="23"/>
      <c r="E63" s="4"/>
      <c r="F63" s="1"/>
      <c r="G63" s="2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22"/>
      <c r="D64" s="23"/>
      <c r="E64" s="4"/>
      <c r="F64" s="1"/>
      <c r="G64" s="2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22"/>
      <c r="D65" s="23"/>
      <c r="E65" s="4"/>
      <c r="F65" s="1"/>
      <c r="G65" s="2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22"/>
      <c r="D66" s="23"/>
      <c r="E66" s="4"/>
      <c r="F66" s="1"/>
      <c r="G66" s="2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22"/>
      <c r="D67" s="23"/>
      <c r="E67" s="4"/>
      <c r="F67" s="1"/>
      <c r="G67" s="2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22"/>
      <c r="D68" s="23"/>
      <c r="E68" s="4"/>
      <c r="F68" s="1"/>
      <c r="G68" s="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22"/>
      <c r="D69" s="23"/>
      <c r="E69" s="4"/>
      <c r="F69" s="1"/>
      <c r="G69" s="2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22"/>
      <c r="D70" s="23"/>
      <c r="E70" s="4"/>
      <c r="F70" s="1"/>
      <c r="G70" s="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22"/>
      <c r="D71" s="23"/>
      <c r="E71" s="4"/>
      <c r="F71" s="1"/>
      <c r="G71" s="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22"/>
      <c r="D72" s="23"/>
      <c r="E72" s="4"/>
      <c r="F72" s="1"/>
      <c r="G72" s="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22"/>
      <c r="D73" s="23"/>
      <c r="E73" s="4"/>
      <c r="F73" s="1"/>
      <c r="G73" s="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22"/>
      <c r="D74" s="23"/>
      <c r="E74" s="4"/>
      <c r="F74" s="1"/>
      <c r="G74" s="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22"/>
      <c r="D75" s="23"/>
      <c r="E75" s="4"/>
      <c r="F75" s="1"/>
      <c r="G75" s="2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22"/>
      <c r="D76" s="23"/>
      <c r="E76" s="4"/>
      <c r="F76" s="1"/>
      <c r="G76" s="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22"/>
      <c r="D77" s="23"/>
      <c r="E77" s="4"/>
      <c r="F77" s="1"/>
      <c r="G77" s="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22"/>
      <c r="D78" s="23"/>
      <c r="E78" s="4"/>
      <c r="F78" s="1"/>
      <c r="G78" s="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22"/>
      <c r="D79" s="23"/>
      <c r="E79" s="4"/>
      <c r="F79" s="1"/>
      <c r="G79" s="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22"/>
      <c r="D80" s="23"/>
      <c r="E80" s="4"/>
      <c r="F80" s="1"/>
      <c r="G80" s="2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22"/>
      <c r="D81" s="23"/>
      <c r="E81" s="4"/>
      <c r="F81" s="1"/>
      <c r="G81" s="2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22"/>
      <c r="D82" s="23"/>
      <c r="E82" s="4"/>
      <c r="F82" s="1"/>
      <c r="G82" s="2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22"/>
      <c r="D83" s="23"/>
      <c r="E83" s="4"/>
      <c r="F83" s="1"/>
      <c r="G83" s="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22"/>
      <c r="D84" s="23"/>
      <c r="E84" s="4"/>
      <c r="F84" s="1"/>
      <c r="G84" s="2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22"/>
      <c r="D85" s="23"/>
      <c r="E85" s="4"/>
      <c r="F85" s="1"/>
      <c r="G85" s="2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22"/>
      <c r="D86" s="23"/>
      <c r="E86" s="4"/>
      <c r="F86" s="1"/>
      <c r="G86" s="2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22"/>
      <c r="D87" s="23"/>
      <c r="E87" s="4"/>
      <c r="F87" s="1"/>
      <c r="G87" s="2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22"/>
      <c r="D88" s="23"/>
      <c r="E88" s="4"/>
      <c r="F88" s="1"/>
      <c r="G88" s="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22"/>
      <c r="D89" s="23"/>
      <c r="E89" s="4"/>
      <c r="F89" s="1"/>
      <c r="G89" s="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22"/>
      <c r="D90" s="23"/>
      <c r="E90" s="4"/>
      <c r="F90" s="1"/>
      <c r="G90" s="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22"/>
      <c r="D91" s="23"/>
      <c r="E91" s="4"/>
      <c r="F91" s="1"/>
      <c r="G91" s="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22"/>
      <c r="D92" s="23"/>
      <c r="E92" s="4"/>
      <c r="F92" s="1"/>
      <c r="G92" s="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22"/>
      <c r="D93" s="23"/>
      <c r="E93" s="4"/>
      <c r="F93" s="1"/>
      <c r="G93" s="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22"/>
      <c r="D94" s="23"/>
      <c r="E94" s="4"/>
      <c r="F94" s="1"/>
      <c r="G94" s="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22"/>
      <c r="D95" s="23"/>
      <c r="E95" s="4"/>
      <c r="F95" s="1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22"/>
      <c r="D96" s="23"/>
      <c r="E96" s="4"/>
      <c r="F96" s="1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22"/>
      <c r="D97" s="23"/>
      <c r="E97" s="4"/>
      <c r="F97" s="1"/>
      <c r="G97" s="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22"/>
      <c r="D98" s="23"/>
      <c r="E98" s="4"/>
      <c r="F98" s="1"/>
      <c r="G98" s="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22"/>
      <c r="D99" s="23"/>
      <c r="E99" s="4"/>
      <c r="F99" s="1"/>
      <c r="G99" s="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22"/>
      <c r="D100" s="23"/>
      <c r="E100" s="4"/>
      <c r="F100" s="1"/>
      <c r="G100" s="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22"/>
      <c r="D101" s="23"/>
      <c r="E101" s="4"/>
      <c r="F101" s="1"/>
      <c r="G101" s="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22"/>
      <c r="D102" s="23"/>
      <c r="E102" s="4"/>
      <c r="F102" s="1"/>
      <c r="G102" s="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22"/>
      <c r="D103" s="23"/>
      <c r="E103" s="4"/>
      <c r="F103" s="1"/>
      <c r="G103" s="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22"/>
      <c r="D104" s="23"/>
      <c r="E104" s="4"/>
      <c r="F104" s="1"/>
      <c r="G104" s="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22"/>
      <c r="D105" s="23"/>
      <c r="E105" s="4"/>
      <c r="F105" s="1"/>
      <c r="G105" s="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22"/>
      <c r="D106" s="23"/>
      <c r="E106" s="4"/>
      <c r="F106" s="1"/>
      <c r="G106" s="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22"/>
      <c r="D107" s="23"/>
      <c r="E107" s="4"/>
      <c r="F107" s="1"/>
      <c r="G107" s="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22"/>
      <c r="D108" s="23"/>
      <c r="E108" s="4"/>
      <c r="F108" s="1"/>
      <c r="G108" s="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22"/>
      <c r="D109" s="23"/>
      <c r="E109" s="4"/>
      <c r="F109" s="1"/>
      <c r="G109" s="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22"/>
      <c r="D110" s="23"/>
      <c r="E110" s="4"/>
      <c r="F110" s="1"/>
      <c r="G110" s="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22"/>
      <c r="D111" s="23"/>
      <c r="E111" s="4"/>
      <c r="F111" s="1"/>
      <c r="G111" s="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22"/>
      <c r="D112" s="23"/>
      <c r="E112" s="4"/>
      <c r="F112" s="1"/>
      <c r="G112" s="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22"/>
      <c r="D113" s="23"/>
      <c r="E113" s="4"/>
      <c r="F113" s="1"/>
      <c r="G113" s="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22"/>
      <c r="D114" s="23"/>
      <c r="E114" s="4"/>
      <c r="F114" s="1"/>
      <c r="G114" s="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22"/>
      <c r="D115" s="23"/>
      <c r="E115" s="4"/>
      <c r="F115" s="1"/>
      <c r="G115" s="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22"/>
      <c r="D116" s="23"/>
      <c r="E116" s="4"/>
      <c r="F116" s="1"/>
      <c r="G116" s="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22"/>
      <c r="D117" s="23"/>
      <c r="E117" s="4"/>
      <c r="F117" s="1"/>
      <c r="G117" s="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22"/>
      <c r="D118" s="23"/>
      <c r="E118" s="4"/>
      <c r="F118" s="1"/>
      <c r="G118" s="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22"/>
      <c r="D119" s="23"/>
      <c r="E119" s="4"/>
      <c r="F119" s="1"/>
      <c r="G119" s="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22"/>
      <c r="D120" s="23"/>
      <c r="E120" s="4"/>
      <c r="F120" s="1"/>
      <c r="G120" s="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22"/>
      <c r="D121" s="23"/>
      <c r="E121" s="4"/>
      <c r="F121" s="1"/>
      <c r="G121" s="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22"/>
      <c r="D122" s="23"/>
      <c r="E122" s="4"/>
      <c r="F122" s="1"/>
      <c r="G122" s="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22"/>
      <c r="D123" s="23"/>
      <c r="E123" s="4"/>
      <c r="F123" s="1"/>
      <c r="G123" s="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22"/>
      <c r="D124" s="23"/>
      <c r="E124" s="4"/>
      <c r="F124" s="1"/>
      <c r="G124" s="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22"/>
      <c r="D125" s="23"/>
      <c r="E125" s="4"/>
      <c r="F125" s="1"/>
      <c r="G125" s="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22"/>
      <c r="D126" s="23"/>
      <c r="E126" s="4"/>
      <c r="F126" s="1"/>
      <c r="G126" s="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22"/>
      <c r="D127" s="23"/>
      <c r="E127" s="4"/>
      <c r="F127" s="1"/>
      <c r="G127" s="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22"/>
      <c r="D128" s="23"/>
      <c r="E128" s="4"/>
      <c r="F128" s="1"/>
      <c r="G128" s="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22"/>
      <c r="D129" s="23"/>
      <c r="E129" s="4"/>
      <c r="F129" s="1"/>
      <c r="G129" s="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22"/>
      <c r="D130" s="23"/>
      <c r="E130" s="4"/>
      <c r="F130" s="1"/>
      <c r="G130" s="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22"/>
      <c r="D131" s="23"/>
      <c r="E131" s="4"/>
      <c r="F131" s="1"/>
      <c r="G131" s="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22"/>
      <c r="D132" s="23"/>
      <c r="E132" s="4"/>
      <c r="F132" s="1"/>
      <c r="G132" s="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22"/>
      <c r="D133" s="23"/>
      <c r="E133" s="4"/>
      <c r="F133" s="1"/>
      <c r="G133" s="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22"/>
      <c r="D134" s="23"/>
      <c r="E134" s="4"/>
      <c r="F134" s="1"/>
      <c r="G134" s="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22"/>
      <c r="D135" s="23"/>
      <c r="E135" s="4"/>
      <c r="F135" s="1"/>
      <c r="G135" s="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22"/>
      <c r="D136" s="23"/>
      <c r="E136" s="4"/>
      <c r="F136" s="1"/>
      <c r="G136" s="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22"/>
      <c r="D137" s="23"/>
      <c r="E137" s="4"/>
      <c r="F137" s="1"/>
      <c r="G137" s="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22"/>
      <c r="D138" s="23"/>
      <c r="E138" s="4"/>
      <c r="F138" s="1"/>
      <c r="G138" s="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22"/>
      <c r="D139" s="23"/>
      <c r="E139" s="4"/>
      <c r="F139" s="1"/>
      <c r="G139" s="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22"/>
      <c r="D140" s="23"/>
      <c r="E140" s="4"/>
      <c r="F140" s="1"/>
      <c r="G140" s="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22"/>
      <c r="D141" s="23"/>
      <c r="E141" s="4"/>
      <c r="F141" s="1"/>
      <c r="G141" s="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22"/>
      <c r="D142" s="23"/>
      <c r="E142" s="4"/>
      <c r="F142" s="1"/>
      <c r="G142" s="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22"/>
      <c r="D143" s="23"/>
      <c r="E143" s="4"/>
      <c r="F143" s="1"/>
      <c r="G143" s="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22"/>
      <c r="D144" s="23"/>
      <c r="E144" s="4"/>
      <c r="F144" s="1"/>
      <c r="G144" s="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22"/>
      <c r="D145" s="23"/>
      <c r="E145" s="4"/>
      <c r="F145" s="1"/>
      <c r="G145" s="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22"/>
      <c r="D146" s="23"/>
      <c r="E146" s="4"/>
      <c r="F146" s="1"/>
      <c r="G146" s="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22"/>
      <c r="D147" s="23"/>
      <c r="E147" s="4"/>
      <c r="F147" s="1"/>
      <c r="G147" s="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22"/>
      <c r="D148" s="23"/>
      <c r="E148" s="4"/>
      <c r="F148" s="1"/>
      <c r="G148" s="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22"/>
      <c r="D149" s="23"/>
      <c r="E149" s="4"/>
      <c r="F149" s="1"/>
      <c r="G149" s="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22"/>
      <c r="D150" s="23"/>
      <c r="E150" s="4"/>
      <c r="F150" s="1"/>
      <c r="G150" s="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22"/>
      <c r="D151" s="23"/>
      <c r="E151" s="4"/>
      <c r="F151" s="1"/>
      <c r="G151" s="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22"/>
      <c r="D152" s="23"/>
      <c r="E152" s="4"/>
      <c r="F152" s="1"/>
      <c r="G152" s="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22"/>
      <c r="D153" s="23"/>
      <c r="E153" s="4"/>
      <c r="F153" s="1"/>
      <c r="G153" s="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22"/>
      <c r="D154" s="23"/>
      <c r="E154" s="4"/>
      <c r="F154" s="1"/>
      <c r="G154" s="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22"/>
      <c r="D155" s="23"/>
      <c r="E155" s="4"/>
      <c r="F155" s="1"/>
      <c r="G155" s="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22"/>
      <c r="D156" s="23"/>
      <c r="E156" s="4"/>
      <c r="F156" s="1"/>
      <c r="G156" s="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22"/>
      <c r="D157" s="23"/>
      <c r="E157" s="4"/>
      <c r="F157" s="1"/>
      <c r="G157" s="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22"/>
      <c r="D158" s="23"/>
      <c r="E158" s="4"/>
      <c r="F158" s="1"/>
      <c r="G158" s="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22"/>
      <c r="D159" s="23"/>
      <c r="E159" s="4"/>
      <c r="F159" s="1"/>
      <c r="G159" s="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22"/>
      <c r="D160" s="23"/>
      <c r="E160" s="4"/>
      <c r="F160" s="1"/>
      <c r="G160" s="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22"/>
      <c r="D161" s="23"/>
      <c r="E161" s="4"/>
      <c r="F161" s="1"/>
      <c r="G161" s="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22"/>
      <c r="D162" s="23"/>
      <c r="E162" s="4"/>
      <c r="F162" s="1"/>
      <c r="G162" s="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22"/>
      <c r="D163" s="23"/>
      <c r="E163" s="4"/>
      <c r="F163" s="1"/>
      <c r="G163" s="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22"/>
      <c r="D164" s="23"/>
      <c r="E164" s="4"/>
      <c r="F164" s="1"/>
      <c r="G164" s="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22"/>
      <c r="D165" s="23"/>
      <c r="E165" s="4"/>
      <c r="F165" s="1"/>
      <c r="G165" s="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22"/>
      <c r="D166" s="23"/>
      <c r="E166" s="4"/>
      <c r="F166" s="1"/>
      <c r="G166" s="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22"/>
      <c r="D167" s="23"/>
      <c r="E167" s="4"/>
      <c r="F167" s="1"/>
      <c r="G167" s="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22"/>
      <c r="D168" s="23"/>
      <c r="E168" s="4"/>
      <c r="F168" s="1"/>
      <c r="G168" s="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22"/>
      <c r="D169" s="23"/>
      <c r="E169" s="4"/>
      <c r="F169" s="1"/>
      <c r="G169" s="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22"/>
      <c r="D170" s="23"/>
      <c r="E170" s="4"/>
      <c r="F170" s="1"/>
      <c r="G170" s="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22"/>
      <c r="D171" s="23"/>
      <c r="E171" s="4"/>
      <c r="F171" s="1"/>
      <c r="G171" s="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22"/>
      <c r="D172" s="23"/>
      <c r="E172" s="4"/>
      <c r="F172" s="1"/>
      <c r="G172" s="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22"/>
      <c r="D173" s="23"/>
      <c r="E173" s="4"/>
      <c r="F173" s="1"/>
      <c r="G173" s="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22"/>
      <c r="D174" s="23"/>
      <c r="E174" s="4"/>
      <c r="F174" s="1"/>
      <c r="G174" s="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22"/>
      <c r="D175" s="23"/>
      <c r="E175" s="4"/>
      <c r="F175" s="1"/>
      <c r="G175" s="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22"/>
      <c r="D176" s="23"/>
      <c r="E176" s="4"/>
      <c r="F176" s="1"/>
      <c r="G176" s="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22"/>
      <c r="D177" s="23"/>
      <c r="E177" s="4"/>
      <c r="F177" s="1"/>
      <c r="G177" s="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22"/>
      <c r="D178" s="23"/>
      <c r="E178" s="4"/>
      <c r="F178" s="1"/>
      <c r="G178" s="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22"/>
      <c r="D179" s="23"/>
      <c r="E179" s="4"/>
      <c r="F179" s="1"/>
      <c r="G179" s="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22"/>
      <c r="D180" s="23"/>
      <c r="E180" s="4"/>
      <c r="F180" s="1"/>
      <c r="G180" s="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22"/>
      <c r="D181" s="23"/>
      <c r="E181" s="4"/>
      <c r="F181" s="1"/>
      <c r="G181" s="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22"/>
      <c r="D182" s="23"/>
      <c r="E182" s="4"/>
      <c r="F182" s="1"/>
      <c r="G182" s="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22"/>
      <c r="D183" s="23"/>
      <c r="E183" s="4"/>
      <c r="F183" s="1"/>
      <c r="G183" s="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22"/>
      <c r="D184" s="23"/>
      <c r="E184" s="4"/>
      <c r="F184" s="1"/>
      <c r="G184" s="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22"/>
      <c r="D185" s="23"/>
      <c r="E185" s="4"/>
      <c r="F185" s="1"/>
      <c r="G185" s="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22"/>
      <c r="D186" s="23"/>
      <c r="E186" s="4"/>
      <c r="F186" s="1"/>
      <c r="G186" s="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22"/>
      <c r="D187" s="23"/>
      <c r="E187" s="4"/>
      <c r="F187" s="1"/>
      <c r="G187" s="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22"/>
      <c r="D188" s="23"/>
      <c r="E188" s="4"/>
      <c r="F188" s="1"/>
      <c r="G188" s="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22"/>
      <c r="D189" s="23"/>
      <c r="E189" s="4"/>
      <c r="F189" s="1"/>
      <c r="G189" s="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22"/>
      <c r="D190" s="23"/>
      <c r="E190" s="4"/>
      <c r="F190" s="1"/>
      <c r="G190" s="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22"/>
      <c r="D191" s="23"/>
      <c r="E191" s="4"/>
      <c r="F191" s="1"/>
      <c r="G191" s="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22"/>
      <c r="D192" s="23"/>
      <c r="E192" s="4"/>
      <c r="F192" s="1"/>
      <c r="G192" s="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22"/>
      <c r="D193" s="23"/>
      <c r="E193" s="4"/>
      <c r="F193" s="1"/>
      <c r="G193" s="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22"/>
      <c r="D194" s="23"/>
      <c r="E194" s="4"/>
      <c r="F194" s="1"/>
      <c r="G194" s="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22"/>
      <c r="D195" s="23"/>
      <c r="E195" s="4"/>
      <c r="F195" s="1"/>
      <c r="G195" s="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22"/>
      <c r="D196" s="23"/>
      <c r="E196" s="4"/>
      <c r="F196" s="1"/>
      <c r="G196" s="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22"/>
      <c r="D197" s="23"/>
      <c r="E197" s="4"/>
      <c r="F197" s="1"/>
      <c r="G197" s="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22"/>
      <c r="D198" s="23"/>
      <c r="E198" s="4"/>
      <c r="F198" s="1"/>
      <c r="G198" s="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22"/>
      <c r="D199" s="23"/>
      <c r="E199" s="4"/>
      <c r="F199" s="1"/>
      <c r="G199" s="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22"/>
      <c r="D200" s="23"/>
      <c r="E200" s="4"/>
      <c r="F200" s="1"/>
      <c r="G200" s="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22"/>
      <c r="D201" s="23"/>
      <c r="E201" s="4"/>
      <c r="F201" s="1"/>
      <c r="G201" s="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22"/>
      <c r="D202" s="23"/>
      <c r="E202" s="4"/>
      <c r="F202" s="1"/>
      <c r="G202" s="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22"/>
      <c r="D203" s="23"/>
      <c r="E203" s="4"/>
      <c r="F203" s="1"/>
      <c r="G203" s="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22"/>
      <c r="D204" s="23"/>
      <c r="E204" s="4"/>
      <c r="F204" s="1"/>
      <c r="G204" s="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22"/>
      <c r="D205" s="23"/>
      <c r="E205" s="4"/>
      <c r="F205" s="1"/>
      <c r="G205" s="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22"/>
      <c r="D206" s="23"/>
      <c r="E206" s="4"/>
      <c r="F206" s="1"/>
      <c r="G206" s="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22"/>
      <c r="D207" s="23"/>
      <c r="E207" s="4"/>
      <c r="F207" s="1"/>
      <c r="G207" s="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22"/>
      <c r="D208" s="23"/>
      <c r="E208" s="4"/>
      <c r="F208" s="1"/>
      <c r="G208" s="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22"/>
      <c r="D209" s="23"/>
      <c r="E209" s="4"/>
      <c r="F209" s="1"/>
      <c r="G209" s="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22"/>
      <c r="D210" s="23"/>
      <c r="E210" s="4"/>
      <c r="F210" s="1"/>
      <c r="G210" s="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22"/>
      <c r="D211" s="23"/>
      <c r="E211" s="4"/>
      <c r="F211" s="1"/>
      <c r="G211" s="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22"/>
      <c r="D212" s="23"/>
      <c r="E212" s="4"/>
      <c r="F212" s="1"/>
      <c r="G212" s="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22"/>
      <c r="D213" s="23"/>
      <c r="E213" s="4"/>
      <c r="F213" s="1"/>
      <c r="G213" s="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22"/>
      <c r="D214" s="23"/>
      <c r="E214" s="4"/>
      <c r="F214" s="1"/>
      <c r="G214" s="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22"/>
      <c r="D215" s="23"/>
      <c r="E215" s="4"/>
      <c r="F215" s="1"/>
      <c r="G215" s="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22"/>
      <c r="D216" s="23"/>
      <c r="E216" s="4"/>
      <c r="F216" s="1"/>
      <c r="G216" s="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22"/>
      <c r="D217" s="23"/>
      <c r="E217" s="4"/>
      <c r="F217" s="1"/>
      <c r="G217" s="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22"/>
      <c r="D218" s="23"/>
      <c r="E218" s="4"/>
      <c r="F218" s="1"/>
      <c r="G218" s="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22"/>
      <c r="D219" s="23"/>
      <c r="E219" s="4"/>
      <c r="F219" s="1"/>
      <c r="G219" s="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22"/>
      <c r="D220" s="23"/>
      <c r="E220" s="4"/>
      <c r="F220" s="1"/>
      <c r="G220" s="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22"/>
      <c r="D221" s="23"/>
      <c r="E221" s="4"/>
      <c r="F221" s="1"/>
      <c r="G221" s="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22"/>
      <c r="D222" s="23"/>
      <c r="E222" s="4"/>
      <c r="F222" s="1"/>
      <c r="G222" s="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22"/>
      <c r="D223" s="23"/>
      <c r="E223" s="4"/>
      <c r="F223" s="1"/>
      <c r="G223" s="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22"/>
      <c r="D224" s="23"/>
      <c r="E224" s="4"/>
      <c r="F224" s="1"/>
      <c r="G224" s="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22"/>
      <c r="D225" s="23"/>
      <c r="E225" s="4"/>
      <c r="F225" s="1"/>
      <c r="G225" s="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22"/>
      <c r="D226" s="23"/>
      <c r="E226" s="4"/>
      <c r="F226" s="1"/>
      <c r="G226" s="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22"/>
      <c r="D227" s="23"/>
      <c r="E227" s="4"/>
      <c r="F227" s="1"/>
      <c r="G227" s="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22"/>
      <c r="D228" s="23"/>
      <c r="E228" s="4"/>
      <c r="F228" s="1"/>
      <c r="G228" s="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22"/>
      <c r="D229" s="23"/>
      <c r="E229" s="4"/>
      <c r="F229" s="1"/>
      <c r="G229" s="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22"/>
      <c r="D230" s="23"/>
      <c r="E230" s="4"/>
      <c r="F230" s="1"/>
      <c r="G230" s="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22"/>
      <c r="D231" s="23"/>
      <c r="E231" s="4"/>
      <c r="F231" s="1"/>
      <c r="G231" s="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5:G37"/>
  </mergeCells>
  <hyperlinks>
    <hyperlink r:id="rId1" ref="C35"/>
  </hyperlinks>
  <printOptions/>
  <pageMargins bottom="0.15748031496062992" footer="0.0" header="0.0" left="0.53" right="0.2362204724409449" top="0.31496062992125984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43"/>
    <col customWidth="1" min="2" max="2" width="25.71"/>
    <col customWidth="1" min="3" max="3" width="2.86"/>
    <col customWidth="1" min="4" max="4" width="25.71"/>
    <col customWidth="1" min="5" max="5" width="18.0"/>
    <col customWidth="1" min="6" max="6" width="9.86"/>
    <col customWidth="1" min="7" max="7" width="10.86"/>
    <col customWidth="1" min="8" max="8" width="12.43"/>
    <col customWidth="1" min="9" max="9" width="23.14"/>
    <col customWidth="1" min="10" max="10" width="23.29"/>
    <col customWidth="1" min="11" max="11" width="13.43"/>
    <col customWidth="1" min="12" max="12" width="11.43"/>
    <col customWidth="1" min="13" max="24" width="10.71"/>
  </cols>
  <sheetData>
    <row r="1" ht="27.0" customHeight="1">
      <c r="A1" s="35" t="s">
        <v>54</v>
      </c>
      <c r="B1" s="36"/>
      <c r="C1" s="36"/>
      <c r="D1" s="36"/>
      <c r="E1" s="36"/>
      <c r="F1" s="37"/>
      <c r="G1" s="38"/>
      <c r="H1" s="38"/>
      <c r="I1" s="39"/>
      <c r="J1" s="39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40"/>
      <c r="Z1" s="40"/>
    </row>
    <row r="2">
      <c r="A2" s="41"/>
      <c r="B2" s="41"/>
      <c r="C2" s="41"/>
      <c r="D2" s="41"/>
      <c r="E2" s="41"/>
      <c r="F2" s="41"/>
      <c r="G2" s="41"/>
      <c r="H2" s="42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0"/>
      <c r="Z2" s="40"/>
    </row>
    <row r="3">
      <c r="A3" s="43"/>
      <c r="B3" s="44" t="s">
        <v>55</v>
      </c>
      <c r="C3" s="45"/>
      <c r="D3" s="44" t="s">
        <v>56</v>
      </c>
      <c r="E3" s="43"/>
      <c r="F3" s="43"/>
      <c r="G3" s="43"/>
      <c r="H3" s="46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0"/>
      <c r="Z3" s="40"/>
    </row>
    <row r="4">
      <c r="A4" s="41"/>
      <c r="B4" s="47" t="str">
        <f>"Activo no corriente: "&amp;A19</f>
        <v>Activo no corriente: 10000</v>
      </c>
      <c r="C4" s="48"/>
      <c r="D4" s="47" t="str">
        <f>"Patrimonio neto: "&amp;B19</f>
        <v>Patrimonio neto: 3000</v>
      </c>
      <c r="E4" s="41"/>
      <c r="F4" s="41"/>
      <c r="G4" s="41"/>
      <c r="H4" s="42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0"/>
      <c r="Z4" s="40"/>
    </row>
    <row r="5">
      <c r="A5" s="41"/>
      <c r="B5" s="47" t="str">
        <f>"Activo corriente: "&amp;A20</f>
        <v>Activo corriente: 5000</v>
      </c>
      <c r="C5" s="48"/>
      <c r="D5" s="47" t="str">
        <f>"Pasivo no corriente: "&amp;B20</f>
        <v>Pasivo no corriente: 8000</v>
      </c>
      <c r="E5" s="41"/>
      <c r="F5" s="41"/>
      <c r="G5" s="41"/>
      <c r="H5" s="42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0"/>
      <c r="Z5" s="40"/>
    </row>
    <row r="6">
      <c r="A6" s="41"/>
      <c r="B6" s="49"/>
      <c r="C6" s="48"/>
      <c r="D6" s="49" t="str">
        <f>"Pasivo corriente: "&amp;B21</f>
        <v>Pasivo corriente: 4000</v>
      </c>
      <c r="E6" s="41"/>
      <c r="F6" s="41"/>
      <c r="G6" s="41"/>
      <c r="H6" s="42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0"/>
      <c r="Z6" s="40"/>
    </row>
    <row r="7">
      <c r="A7" s="41"/>
      <c r="B7" s="50" t="str">
        <f>"Activo TOTAL:"&amp;A22</f>
        <v>Activo TOTAL:15000</v>
      </c>
      <c r="C7" s="45"/>
      <c r="D7" s="50" t="str">
        <f>"Pasivo TOTAL: "&amp;B22</f>
        <v>Pasivo TOTAL: 15000</v>
      </c>
      <c r="E7" s="41"/>
      <c r="F7" s="41"/>
      <c r="G7" s="41"/>
      <c r="H7" s="42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0"/>
      <c r="Z7" s="40"/>
    </row>
    <row r="8">
      <c r="A8" s="41"/>
      <c r="B8" s="45"/>
      <c r="C8" s="45"/>
      <c r="D8" s="45"/>
      <c r="E8" s="41"/>
      <c r="F8" s="41"/>
      <c r="G8" s="41"/>
      <c r="H8" s="42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0"/>
      <c r="Z8" s="40"/>
    </row>
    <row r="9">
      <c r="A9" s="41"/>
      <c r="B9" s="51" t="str">
        <f>IF(A22=B22,"     ","ERROR!! ACTIVO Y PASIVO DEBEN SUMAR LO MISMO")</f>
        <v>     </v>
      </c>
      <c r="C9" s="52"/>
      <c r="D9" s="52"/>
      <c r="E9" s="41"/>
      <c r="F9" s="41"/>
      <c r="G9" s="41"/>
      <c r="H9" s="42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0"/>
      <c r="Z9" s="40"/>
    </row>
    <row r="10">
      <c r="A10" s="35" t="s">
        <v>57</v>
      </c>
      <c r="B10" s="36"/>
      <c r="C10" s="36"/>
      <c r="D10" s="36"/>
      <c r="E10" s="36"/>
      <c r="F10" s="37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41"/>
      <c r="B11" s="41"/>
      <c r="C11" s="41"/>
      <c r="D11" s="41"/>
      <c r="E11" s="41"/>
      <c r="F11" s="41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41"/>
      <c r="B12" s="41"/>
      <c r="C12" s="41"/>
      <c r="D12" s="41"/>
      <c r="E12" s="41"/>
      <c r="F12" s="41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41"/>
      <c r="B13" s="41"/>
      <c r="C13" s="41"/>
      <c r="D13" s="41"/>
      <c r="E13" s="41"/>
      <c r="F13" s="41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5.75" customHeight="1">
      <c r="A14" s="41"/>
      <c r="B14" s="41"/>
      <c r="C14" s="41"/>
      <c r="D14" s="41"/>
      <c r="E14" s="41"/>
      <c r="F14" s="41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5.75" customHeight="1">
      <c r="A15" s="41"/>
      <c r="B15" s="41"/>
      <c r="C15" s="41"/>
      <c r="D15" s="41"/>
      <c r="E15" s="41"/>
      <c r="F15" s="41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5.75" customHeight="1">
      <c r="A16" s="41"/>
      <c r="B16" s="41"/>
      <c r="C16" s="41"/>
      <c r="D16" s="41"/>
      <c r="E16" s="41"/>
      <c r="F16" s="41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5.75" customHeight="1">
      <c r="A17" s="41"/>
      <c r="B17" s="41"/>
      <c r="C17" s="41"/>
      <c r="D17" s="41"/>
      <c r="E17" s="41"/>
      <c r="F17" s="41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5.75" customHeight="1">
      <c r="A18" s="41"/>
      <c r="B18" s="41"/>
      <c r="C18" s="41"/>
      <c r="D18" s="41"/>
      <c r="E18" s="41"/>
      <c r="F18" s="41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5.75" customHeight="1">
      <c r="A19" s="53">
        <f>'Balance de situacion'!D2</f>
        <v>10000</v>
      </c>
      <c r="B19" s="53">
        <f>'Balance de situacion'!G2</f>
        <v>3000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5.75" customHeight="1">
      <c r="A20" s="53">
        <f>'Balance de situacion'!D11</f>
        <v>5000</v>
      </c>
      <c r="B20" s="53">
        <f>'Balance de situacion'!G15</f>
        <v>8000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5.75" customHeight="1">
      <c r="A21" s="40"/>
      <c r="B21" s="53">
        <f>'Balance de situacion'!G21</f>
        <v>4000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5.75" customHeight="1">
      <c r="A22" s="53">
        <f>SUM(A19:A20)</f>
        <v>15000</v>
      </c>
      <c r="B22" s="53">
        <f>SUM(B19:B21)</f>
        <v>15000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5.75" customHeight="1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5.75" customHeight="1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5.75" customHeight="1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5.75" customHeight="1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5.75" customHeight="1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5.75" customHeight="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5.75" customHeight="1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5.75" customHeight="1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5.75" customHeight="1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5.75" customHeight="1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5.75" customHeight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5.75" customHeight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5.75" customHeight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5.7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5.7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5.7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5.7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5.7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5.7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5.7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5.7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5.7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7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5.7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7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15.7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15.7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15.7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15.7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5.7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5.7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ht="15.7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ht="15.7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ht="15.7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ht="15.7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5.7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ht="15.7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ht="15.7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ht="15.7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ht="15.7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5.7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5.7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5.7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5.7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ht="15.7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ht="15.7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ht="15.7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ht="15.7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5.7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5.7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5.7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ht="15.7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ht="15.7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ht="15.7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ht="15.7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ht="15.7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ht="15.7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5.7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ht="15.7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ht="15.7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ht="15.7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ht="15.7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ht="15.7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3">
    <mergeCell ref="A1:F1"/>
    <mergeCell ref="B9:D9"/>
    <mergeCell ref="A10:F10"/>
  </mergeCells>
  <printOptions/>
  <pageMargins bottom="0.75" footer="0.0" header="0.0" left="0.7" right="0.7" top="0.75"/>
  <pageSetup paperSize="9" orientation="portrait"/>
  <drawing r:id="rId1"/>
</worksheet>
</file>